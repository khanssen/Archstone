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14f1c3cfe093fff/One Drive Documents/Work/Website/Archstone/"/>
    </mc:Choice>
  </mc:AlternateContent>
  <xr:revisionPtr revIDLastSave="306" documentId="8_{A52555F2-1039-4986-9D3B-ADDDB9F22544}" xr6:coauthVersionLast="47" xr6:coauthVersionMax="47" xr10:uidLastSave="{1420157D-89E6-46EF-A440-939B87F2942F}"/>
  <bookViews>
    <workbookView minimized="1" xWindow="1662" yWindow="642" windowWidth="17598" windowHeight="12318" xr2:uid="{1EF26FEA-5287-461B-967C-929C001A4869}"/>
  </bookViews>
  <sheets>
    <sheet name="Sheet1" sheetId="1" r:id="rId1"/>
    <sheet name="Sheet2" sheetId="3" r:id="rId2"/>
    <sheet name="Variabl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9" i="3" l="1"/>
  <c r="R19" i="3"/>
  <c r="O19" i="3"/>
  <c r="L19" i="3"/>
  <c r="I19" i="3"/>
  <c r="T20" i="3"/>
  <c r="G10" i="3"/>
  <c r="G8" i="3"/>
  <c r="G7" i="3"/>
  <c r="G6" i="3"/>
  <c r="G5" i="3"/>
</calcChain>
</file>

<file path=xl/sharedStrings.xml><?xml version="1.0" encoding="utf-8"?>
<sst xmlns="http://schemas.openxmlformats.org/spreadsheetml/2006/main" count="68" uniqueCount="63">
  <si>
    <t>#dddddd</t>
  </si>
  <si>
    <t>#99ccff</t>
  </si>
  <si>
    <t>#666699</t>
  </si>
  <si>
    <t>css.styles</t>
  </si>
  <si>
    <t>bootstrap</t>
  </si>
  <si>
    <t>--bs-pink:#d63384;</t>
  </si>
  <si>
    <t>--bs-red:#dc3545;</t>
  </si>
  <si>
    <t>--bs-orange:#fd7e14;</t>
  </si>
  <si>
    <t>--bs-yellow:#ffc107;</t>
  </si>
  <si>
    <t>--bs-green:#198754;</t>
  </si>
  <si>
    <t>--bs-teal:#20c997;</t>
  </si>
  <si>
    <t>--bs-cyan:#0dcaf0;</t>
  </si>
  <si>
    <t>--bs-white:#fff;</t>
  </si>
  <si>
    <t>--bs-gray:#6c757d;</t>
  </si>
  <si>
    <t>--bs-gray-dark:#343a40;</t>
  </si>
  <si>
    <t>--bs-primary:#0d6efd;</t>
  </si>
  <si>
    <t>--bs-secondary:#6c757d;</t>
  </si>
  <si>
    <t>--bs-success:#198754;</t>
  </si>
  <si>
    <t>--bs-info:#0dcaf0;</t>
  </si>
  <si>
    <t>--bs-warning:#ffc107;</t>
  </si>
  <si>
    <t>--bs-danger:#dc3545;</t>
  </si>
  <si>
    <t>--bs-light:#f8f9fa;</t>
  </si>
  <si>
    <t>--bs-dark:#212529;</t>
  </si>
  <si>
    <t>#212529</t>
  </si>
  <si>
    <t>#fcf8e3</t>
  </si>
  <si>
    <t>#f4462f</t>
  </si>
  <si>
    <t>#CCCCFC</t>
  </si>
  <si>
    <t>#00415d</t>
  </si>
  <si>
    <t>#7e8283</t>
  </si>
  <si>
    <t>#f7f7f7</t>
  </si>
  <si>
    <t>#212121</t>
  </si>
  <si>
    <t>#dadada</t>
  </si>
  <si>
    <t>#455359</t>
  </si>
  <si>
    <t>original</t>
  </si>
  <si>
    <t>#E4D2FE</t>
  </si>
  <si>
    <t>#365A5C</t>
  </si>
  <si>
    <t>#6666cc</t>
  </si>
  <si>
    <t>$color: #6666cc;</t>
  </si>
  <si>
    <t>$theme-color: #365A5C;</t>
  </si>
  <si>
    <t>$brand-blue: #6666cc;</t>
  </si>
  <si>
    <t>$brand-black: #000;</t>
  </si>
  <si>
    <t>$brand-white: #fff;</t>
  </si>
  <si>
    <t>$brand-light: #999999;</t>
  </si>
  <si>
    <t>$border-color: #dddddd;</t>
  </si>
  <si>
    <t xml:space="preserve">$background-bg: #FFF; </t>
  </si>
  <si>
    <t>#ef462f</t>
  </si>
  <si>
    <t>#999999</t>
  </si>
  <si>
    <t>#b0b0b0</t>
  </si>
  <si>
    <t>#6A7F88</t>
  </si>
  <si>
    <t>x = the width of the picture frame</t>
  </si>
  <si>
    <t>y = the space between the picture frames</t>
  </si>
  <si>
    <t>total width</t>
  </si>
  <si>
    <t>5*</t>
  </si>
  <si>
    <t>width of frame</t>
  </si>
  <si>
    <t>number of frames</t>
  </si>
  <si>
    <t>Picture space</t>
  </si>
  <si>
    <t>Total wall space</t>
  </si>
  <si>
    <t>Individual wall space</t>
  </si>
  <si>
    <t>Mark distance</t>
  </si>
  <si>
    <t>bdced7</t>
  </si>
  <si>
    <t>#b9b9b9</t>
  </si>
  <si>
    <t>c5d2da</t>
  </si>
  <si>
    <t>#e0e1e5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</si>
</sst>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4"/>
      <color rgb="FFFFFFFF"/>
      <name val="Arial Black"/>
      <family val="2"/>
    </font>
    <font>
      <sz val="14"/>
      <color rgb="FF000000"/>
      <name val="Arial Black"/>
      <family val="2"/>
    </font>
    <font>
      <sz val="14"/>
      <color theme="1"/>
      <name val="Arial Black"/>
      <family val="2"/>
    </font>
    <font>
      <sz val="14"/>
      <color theme="0"/>
      <name val="Arial Black"/>
      <family val="2"/>
    </font>
    <font>
      <sz val="16"/>
      <color theme="1"/>
      <name val="Arial Black"/>
      <family val="2"/>
    </font>
    <font>
      <b/>
      <sz val="14"/>
      <color theme="0"/>
      <name val="Arial Black"/>
      <family val="2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D63384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rgb="FFDC3545"/>
        <bgColor indexed="64"/>
      </patternFill>
    </fill>
    <fill>
      <patternFill patternType="solid">
        <fgColor rgb="FFFD7E14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198754"/>
        <bgColor indexed="64"/>
      </patternFill>
    </fill>
    <fill>
      <patternFill patternType="solid">
        <fgColor rgb="FF20C997"/>
        <bgColor indexed="64"/>
      </patternFill>
    </fill>
    <fill>
      <patternFill patternType="solid">
        <fgColor rgb="FF0DCAF0"/>
        <bgColor indexed="64"/>
      </patternFill>
    </fill>
    <fill>
      <patternFill patternType="solid">
        <fgColor rgb="FF6C757D"/>
        <bgColor indexed="64"/>
      </patternFill>
    </fill>
    <fill>
      <patternFill patternType="solid">
        <fgColor rgb="FF343A4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4462F"/>
        <bgColor indexed="64"/>
      </patternFill>
    </fill>
    <fill>
      <patternFill patternType="solid">
        <fgColor rgb="FFCCCCFC"/>
        <bgColor indexed="64"/>
      </patternFill>
    </fill>
    <fill>
      <patternFill patternType="solid">
        <fgColor rgb="FF00415D"/>
        <bgColor indexed="64"/>
      </patternFill>
    </fill>
    <fill>
      <patternFill patternType="solid">
        <fgColor rgb="FF7E8283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212121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rgb="FF455359"/>
        <bgColor indexed="64"/>
      </patternFill>
    </fill>
    <fill>
      <patternFill patternType="solid">
        <fgColor rgb="FFE4D2FE"/>
        <bgColor indexed="64"/>
      </patternFill>
    </fill>
    <fill>
      <patternFill patternType="solid">
        <fgColor rgb="FF365A5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66CC"/>
        <bgColor indexed="64"/>
      </patternFill>
    </fill>
    <fill>
      <patternFill patternType="solid">
        <fgColor rgb="FFBDCED7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6A7F88"/>
        <bgColor indexed="64"/>
      </patternFill>
    </fill>
    <fill>
      <patternFill patternType="solid">
        <fgColor rgb="FFEF462F"/>
        <bgColor indexed="64"/>
      </patternFill>
    </fill>
    <fill>
      <patternFill patternType="solid">
        <fgColor rgb="FFB0B0B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9B9B9"/>
        <bgColor indexed="64"/>
      </patternFill>
    </fill>
    <fill>
      <patternFill patternType="solid">
        <fgColor rgb="FFC5D2DA"/>
        <bgColor indexed="64"/>
      </patternFill>
    </fill>
    <fill>
      <patternFill patternType="solid">
        <fgColor rgb="FFE0E1E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0" xfId="0" applyFont="1"/>
    <xf numFmtId="0" fontId="3" fillId="4" borderId="0" xfId="0" applyFont="1" applyFill="1"/>
    <xf numFmtId="0" fontId="4" fillId="5" borderId="0" xfId="0" applyFont="1" applyFill="1"/>
    <xf numFmtId="0" fontId="2" fillId="6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2" fillId="9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2" fillId="11" borderId="0" xfId="0" applyFont="1" applyFill="1" applyAlignment="1">
      <alignment vertical="center"/>
    </xf>
    <xf numFmtId="0" fontId="2" fillId="12" borderId="0" xfId="0" applyFont="1" applyFill="1" applyAlignment="1">
      <alignment vertical="center"/>
    </xf>
    <xf numFmtId="0" fontId="4" fillId="13" borderId="0" xfId="0" applyFont="1" applyFill="1" applyAlignment="1">
      <alignment vertical="center"/>
    </xf>
    <xf numFmtId="0" fontId="2" fillId="14" borderId="0" xfId="0" applyFont="1" applyFill="1" applyAlignment="1">
      <alignment vertical="center"/>
    </xf>
    <xf numFmtId="0" fontId="5" fillId="0" borderId="0" xfId="0" applyFont="1"/>
    <xf numFmtId="0" fontId="3" fillId="2" borderId="0" xfId="0" applyFont="1" applyFill="1"/>
    <xf numFmtId="0" fontId="3" fillId="15" borderId="0" xfId="0" applyFont="1" applyFill="1"/>
    <xf numFmtId="0" fontId="3" fillId="16" borderId="0" xfId="0" applyFont="1" applyFill="1"/>
    <xf numFmtId="0" fontId="4" fillId="17" borderId="0" xfId="0" applyFont="1" applyFill="1"/>
    <xf numFmtId="0" fontId="3" fillId="18" borderId="0" xfId="0" applyFont="1" applyFill="1"/>
    <xf numFmtId="0" fontId="3" fillId="19" borderId="0" xfId="0" applyFont="1" applyFill="1"/>
    <xf numFmtId="0" fontId="4" fillId="20" borderId="0" xfId="0" applyFont="1" applyFill="1"/>
    <xf numFmtId="0" fontId="3" fillId="21" borderId="0" xfId="0" applyFont="1" applyFill="1"/>
    <xf numFmtId="0" fontId="4" fillId="22" borderId="0" xfId="0" applyFont="1" applyFill="1"/>
    <xf numFmtId="0" fontId="5" fillId="23" borderId="0" xfId="0" applyFont="1" applyFill="1"/>
    <xf numFmtId="0" fontId="5" fillId="15" borderId="0" xfId="0" applyFont="1" applyFill="1"/>
    <xf numFmtId="0" fontId="6" fillId="24" borderId="0" xfId="0" applyFont="1" applyFill="1"/>
    <xf numFmtId="0" fontId="5" fillId="25" borderId="0" xfId="0" applyFont="1" applyFill="1"/>
    <xf numFmtId="0" fontId="7" fillId="27" borderId="0" xfId="0" applyFont="1" applyFill="1"/>
    <xf numFmtId="0" fontId="8" fillId="26" borderId="0" xfId="0" applyFont="1" applyFill="1"/>
    <xf numFmtId="0" fontId="8" fillId="24" borderId="0" xfId="0" applyFont="1" applyFill="1"/>
    <xf numFmtId="0" fontId="8" fillId="28" borderId="0" xfId="0" applyFont="1" applyFill="1"/>
    <xf numFmtId="0" fontId="0" fillId="29" borderId="0" xfId="0" applyFill="1"/>
    <xf numFmtId="0" fontId="0" fillId="2" borderId="0" xfId="0" applyFill="1"/>
    <xf numFmtId="0" fontId="4" fillId="26" borderId="0" xfId="0" applyFont="1" applyFill="1"/>
    <xf numFmtId="0" fontId="3" fillId="31" borderId="0" xfId="0" applyFont="1" applyFill="1"/>
    <xf numFmtId="0" fontId="3" fillId="29" borderId="0" xfId="0" applyFont="1" applyFill="1"/>
    <xf numFmtId="0" fontId="3" fillId="32" borderId="0" xfId="0" applyFont="1" applyFill="1"/>
    <xf numFmtId="0" fontId="3" fillId="30" borderId="0" xfId="0" applyFont="1" applyFill="1"/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0" fillId="33" borderId="0" xfId="0" applyFill="1"/>
    <xf numFmtId="0" fontId="3" fillId="34" borderId="0" xfId="0" applyFont="1" applyFill="1"/>
    <xf numFmtId="0" fontId="0" fillId="35" borderId="0" xfId="0" applyFill="1"/>
    <xf numFmtId="0" fontId="5" fillId="3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0E1E5"/>
      <color rgb="FFC5D2DA"/>
      <color rgb="FF6666CC"/>
      <color rgb="FFB9B9B9"/>
      <color rgb="FF6A7F88"/>
      <color rgb="FFB0B0B0"/>
      <color rgb="FF999999"/>
      <color rgb="FFEF462F"/>
      <color rgb="FF455359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527050</xdr:colOff>
      <xdr:row>1</xdr:row>
      <xdr:rowOff>304800</xdr:rowOff>
    </xdr:from>
    <xdr:to>
      <xdr:col>11</xdr:col>
      <xdr:colOff>304851</xdr:colOff>
      <xdr:row>5</xdr:row>
      <xdr:rowOff>177849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3441C-B041-996E-CA09-0791DF687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9150" y="584200"/>
          <a:ext cx="997001" cy="958899"/>
        </a:xfrm>
        <a:prstGeom prst="rect">
          <a:avLst/>
        </a:prstGeom>
        <a:solidFill>
          <a:schemeClr val="accent2"/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0FA66-D276-4EFE-BD0E-F5C606A47BB6}">
  <dimension ref="C1:F37"/>
  <sheetViews>
    <sheetView tabSelected="1" topLeftCell="A5" workbookViewId="0">
      <selection activeCell="C16" sqref="C16"/>
    </sheetView>
  </sheetViews>
  <sheetFormatPr defaultRowHeight="14.4" x14ac:dyDescent="0.55000000000000004"/>
  <cols>
    <col min="3" max="3" width="25.41796875" customWidth="1"/>
    <col min="4" max="4" width="35.15625" customWidth="1"/>
    <col min="6" max="6" width="36.578125" customWidth="1"/>
  </cols>
  <sheetData>
    <row r="1" spans="3:6" ht="21.9" x14ac:dyDescent="1.05">
      <c r="C1" s="7" t="s">
        <v>2</v>
      </c>
      <c r="D1" s="46" t="s">
        <v>61</v>
      </c>
    </row>
    <row r="2" spans="3:6" ht="24" x14ac:dyDescent="1.1000000000000001">
      <c r="C2" s="17" t="s">
        <v>3</v>
      </c>
      <c r="D2" s="17" t="s">
        <v>3</v>
      </c>
      <c r="E2" s="17"/>
      <c r="F2" s="17" t="s">
        <v>4</v>
      </c>
    </row>
    <row r="3" spans="3:6" x14ac:dyDescent="0.55000000000000004">
      <c r="C3" t="s">
        <v>33</v>
      </c>
    </row>
    <row r="4" spans="3:6" ht="21.9" x14ac:dyDescent="1.05">
      <c r="C4" s="5"/>
      <c r="D4" s="31" t="s">
        <v>59</v>
      </c>
      <c r="F4" s="4" t="s">
        <v>5</v>
      </c>
    </row>
    <row r="5" spans="3:6" ht="24" x14ac:dyDescent="1.1000000000000001">
      <c r="C5" s="6" t="s">
        <v>1</v>
      </c>
      <c r="D5" s="17"/>
      <c r="F5" s="8" t="s">
        <v>6</v>
      </c>
    </row>
    <row r="6" spans="3:6" ht="24" x14ac:dyDescent="1.1000000000000001">
      <c r="D6" s="17"/>
      <c r="F6" s="9" t="s">
        <v>7</v>
      </c>
    </row>
    <row r="7" spans="3:6" ht="24" x14ac:dyDescent="1.1000000000000001">
      <c r="C7" s="18" t="s">
        <v>0</v>
      </c>
      <c r="D7" s="28" t="s">
        <v>25</v>
      </c>
      <c r="F7" s="10" t="s">
        <v>8</v>
      </c>
    </row>
    <row r="8" spans="3:6" ht="24" x14ac:dyDescent="1.1000000000000001">
      <c r="C8" s="19" t="s">
        <v>25</v>
      </c>
      <c r="D8" s="47" t="s">
        <v>62</v>
      </c>
      <c r="F8" s="11" t="s">
        <v>9</v>
      </c>
    </row>
    <row r="9" spans="3:6" ht="24" x14ac:dyDescent="1.1000000000000001">
      <c r="C9" s="20" t="s">
        <v>26</v>
      </c>
      <c r="D9" s="17"/>
      <c r="F9" s="12" t="s">
        <v>10</v>
      </c>
    </row>
    <row r="10" spans="3:6" ht="24" x14ac:dyDescent="1.1000000000000001">
      <c r="C10" s="21" t="s">
        <v>27</v>
      </c>
      <c r="D10" s="17"/>
      <c r="F10" s="13" t="s">
        <v>11</v>
      </c>
    </row>
    <row r="11" spans="3:6" ht="24" x14ac:dyDescent="1.1000000000000001">
      <c r="C11" s="22" t="s">
        <v>28</v>
      </c>
      <c r="D11" s="17"/>
      <c r="F11" s="3" t="s">
        <v>12</v>
      </c>
    </row>
    <row r="12" spans="3:6" ht="24" x14ac:dyDescent="1.1000000000000001">
      <c r="C12" s="23" t="s">
        <v>29</v>
      </c>
      <c r="D12" s="17"/>
      <c r="F12" s="14" t="s">
        <v>13</v>
      </c>
    </row>
    <row r="13" spans="3:6" ht="24" x14ac:dyDescent="1.1000000000000001">
      <c r="C13" s="24" t="s">
        <v>30</v>
      </c>
      <c r="D13" s="17"/>
      <c r="F13" s="15" t="s">
        <v>14</v>
      </c>
    </row>
    <row r="14" spans="3:6" ht="24" x14ac:dyDescent="1.1000000000000001">
      <c r="C14" s="21" t="s">
        <v>27</v>
      </c>
      <c r="D14" s="27" t="s">
        <v>34</v>
      </c>
      <c r="F14" s="15" t="s">
        <v>15</v>
      </c>
    </row>
    <row r="15" spans="3:6" ht="24" x14ac:dyDescent="1.1000000000000001">
      <c r="C15" s="25" t="s">
        <v>31</v>
      </c>
      <c r="D15" s="17"/>
      <c r="F15" s="14" t="s">
        <v>16</v>
      </c>
    </row>
    <row r="16" spans="3:6" ht="24" x14ac:dyDescent="1.1000000000000001">
      <c r="C16" s="26" t="s">
        <v>32</v>
      </c>
      <c r="D16" s="30"/>
      <c r="F16" s="11" t="s">
        <v>17</v>
      </c>
    </row>
    <row r="17" spans="3:6" ht="24" x14ac:dyDescent="1.1000000000000001">
      <c r="C17" s="29" t="s">
        <v>35</v>
      </c>
      <c r="D17" s="17"/>
      <c r="F17" s="13" t="s">
        <v>18</v>
      </c>
    </row>
    <row r="18" spans="3:6" ht="24" x14ac:dyDescent="1.1000000000000001">
      <c r="C18" s="37" t="s">
        <v>36</v>
      </c>
      <c r="D18" s="17"/>
      <c r="F18" s="10" t="s">
        <v>19</v>
      </c>
    </row>
    <row r="19" spans="3:6" ht="24" x14ac:dyDescent="1.1000000000000001">
      <c r="C19" s="39" t="s">
        <v>46</v>
      </c>
      <c r="D19" s="17"/>
      <c r="F19" s="8" t="s">
        <v>20</v>
      </c>
    </row>
    <row r="20" spans="3:6" ht="24" x14ac:dyDescent="1.1000000000000001">
      <c r="C20" s="5" t="s">
        <v>35</v>
      </c>
      <c r="D20" s="17"/>
      <c r="F20" s="16" t="s">
        <v>21</v>
      </c>
    </row>
    <row r="21" spans="3:6" ht="24" x14ac:dyDescent="1.1000000000000001">
      <c r="C21" s="40" t="s">
        <v>47</v>
      </c>
      <c r="D21" s="17"/>
    </row>
    <row r="22" spans="3:6" ht="24" x14ac:dyDescent="1.1000000000000001">
      <c r="C22" s="5" t="s">
        <v>32</v>
      </c>
      <c r="D22" s="17"/>
    </row>
    <row r="23" spans="3:6" ht="24" x14ac:dyDescent="1.1000000000000001">
      <c r="C23" s="38" t="s">
        <v>45</v>
      </c>
      <c r="D23" s="17"/>
    </row>
    <row r="24" spans="3:6" ht="24" x14ac:dyDescent="1.1000000000000001">
      <c r="C24" s="41" t="s">
        <v>48</v>
      </c>
      <c r="D24" s="17"/>
    </row>
    <row r="25" spans="3:6" ht="24" x14ac:dyDescent="1.1000000000000001">
      <c r="C25" s="45" t="s">
        <v>60</v>
      </c>
      <c r="D25" s="17"/>
    </row>
    <row r="26" spans="3:6" ht="24" x14ac:dyDescent="1.1000000000000001">
      <c r="D26" s="17"/>
    </row>
    <row r="27" spans="3:6" ht="24" x14ac:dyDescent="1.1000000000000001">
      <c r="D27" s="17"/>
    </row>
    <row r="28" spans="3:6" ht="24" x14ac:dyDescent="1.1000000000000001">
      <c r="D28" s="17"/>
    </row>
    <row r="29" spans="3:6" ht="24" x14ac:dyDescent="1.1000000000000001">
      <c r="D29" s="17"/>
    </row>
    <row r="30" spans="3:6" ht="24" x14ac:dyDescent="1.1000000000000001">
      <c r="D30" s="17"/>
    </row>
    <row r="31" spans="3:6" ht="24" x14ac:dyDescent="1.1000000000000001">
      <c r="D31" s="17"/>
    </row>
    <row r="32" spans="3:6" ht="24" x14ac:dyDescent="1.1000000000000001">
      <c r="D32" s="17"/>
    </row>
    <row r="33" spans="4:6" ht="24" x14ac:dyDescent="1.1000000000000001">
      <c r="D33" s="17"/>
    </row>
    <row r="34" spans="4:6" ht="24" x14ac:dyDescent="1.1000000000000001">
      <c r="D34" s="17"/>
    </row>
    <row r="35" spans="4:6" ht="21.9" x14ac:dyDescent="0.55000000000000004">
      <c r="F35" s="1" t="s">
        <v>22</v>
      </c>
    </row>
    <row r="36" spans="4:6" ht="21.9" x14ac:dyDescent="0.55000000000000004">
      <c r="F36" s="1" t="s">
        <v>23</v>
      </c>
    </row>
    <row r="37" spans="4:6" ht="21.9" x14ac:dyDescent="0.55000000000000004">
      <c r="F37" s="2" t="s">
        <v>24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83D66-CBF7-4A6B-8898-B71DAFA91B7A}">
  <dimension ref="A2:T20"/>
  <sheetViews>
    <sheetView topLeftCell="A16" workbookViewId="0">
      <selection activeCell="T20" sqref="T20"/>
    </sheetView>
  </sheetViews>
  <sheetFormatPr defaultRowHeight="14.4" x14ac:dyDescent="0.55000000000000004"/>
  <cols>
    <col min="7" max="7" width="12.83984375" customWidth="1"/>
    <col min="8" max="8" width="11.26171875" customWidth="1"/>
  </cols>
  <sheetData>
    <row r="2" spans="1:8" x14ac:dyDescent="0.55000000000000004">
      <c r="A2">
        <v>14.375</v>
      </c>
      <c r="B2" t="s">
        <v>49</v>
      </c>
      <c r="G2" s="42">
        <v>84</v>
      </c>
      <c r="H2" t="s">
        <v>51</v>
      </c>
    </row>
    <row r="3" spans="1:8" x14ac:dyDescent="0.55000000000000004">
      <c r="A3">
        <v>26.5</v>
      </c>
      <c r="B3" t="s">
        <v>50</v>
      </c>
      <c r="G3" s="42">
        <v>14.5</v>
      </c>
      <c r="H3" t="s">
        <v>53</v>
      </c>
    </row>
    <row r="4" spans="1:8" x14ac:dyDescent="0.55000000000000004">
      <c r="G4" s="43">
        <v>4</v>
      </c>
      <c r="H4" t="s">
        <v>54</v>
      </c>
    </row>
    <row r="5" spans="1:8" x14ac:dyDescent="0.55000000000000004">
      <c r="G5" s="43">
        <f>G3*G4</f>
        <v>58</v>
      </c>
      <c r="H5" t="s">
        <v>55</v>
      </c>
    </row>
    <row r="6" spans="1:8" x14ac:dyDescent="0.55000000000000004">
      <c r="B6" t="s">
        <v>52</v>
      </c>
      <c r="G6" s="43">
        <f>G2-G5</f>
        <v>26</v>
      </c>
      <c r="H6" t="s">
        <v>56</v>
      </c>
    </row>
    <row r="7" spans="1:8" x14ac:dyDescent="0.55000000000000004">
      <c r="G7" s="43">
        <f>G6/5</f>
        <v>5.2</v>
      </c>
      <c r="H7" t="s">
        <v>57</v>
      </c>
    </row>
    <row r="8" spans="1:8" x14ac:dyDescent="0.55000000000000004">
      <c r="G8">
        <f>(G3/2)+G7</f>
        <v>12.45</v>
      </c>
      <c r="H8" t="s">
        <v>58</v>
      </c>
    </row>
    <row r="10" spans="1:8" x14ac:dyDescent="0.55000000000000004">
      <c r="G10">
        <f>G2/G8</f>
        <v>6.7469879518072293</v>
      </c>
    </row>
    <row r="13" spans="1:8" x14ac:dyDescent="0.55000000000000004">
      <c r="B13">
        <v>20.5</v>
      </c>
    </row>
    <row r="19" spans="7:20" x14ac:dyDescent="0.55000000000000004">
      <c r="I19">
        <f>G20+H20</f>
        <v>12.45</v>
      </c>
      <c r="L19">
        <f>I19+I20+J20+K20</f>
        <v>32.15</v>
      </c>
      <c r="O19">
        <f>L19+L20+M20+N20</f>
        <v>51.85</v>
      </c>
      <c r="R19">
        <f>O19+O20+P20+Q20</f>
        <v>71.55</v>
      </c>
      <c r="T19">
        <f>R19+R20+S20</f>
        <v>84</v>
      </c>
    </row>
    <row r="20" spans="7:20" x14ac:dyDescent="0.55000000000000004">
      <c r="G20">
        <v>5.2</v>
      </c>
      <c r="H20" s="44">
        <v>7.25</v>
      </c>
      <c r="I20" s="44">
        <v>7.25</v>
      </c>
      <c r="J20">
        <v>5.2</v>
      </c>
      <c r="K20" s="44">
        <v>7.25</v>
      </c>
      <c r="L20" s="44">
        <v>7.25</v>
      </c>
      <c r="M20">
        <v>5.2</v>
      </c>
      <c r="N20" s="44">
        <v>7.25</v>
      </c>
      <c r="O20" s="44">
        <v>7.25</v>
      </c>
      <c r="P20">
        <v>5.2</v>
      </c>
      <c r="Q20" s="44">
        <v>7.25</v>
      </c>
      <c r="R20" s="44">
        <v>7.25</v>
      </c>
      <c r="S20">
        <v>5.2</v>
      </c>
      <c r="T20">
        <f>SUM(G20:S20)</f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4DCDF-C107-4A2A-97C2-EE8A88BDB87E}">
  <dimension ref="B4:B11"/>
  <sheetViews>
    <sheetView topLeftCell="B1" workbookViewId="0">
      <selection activeCell="B4" sqref="B4"/>
    </sheetView>
  </sheetViews>
  <sheetFormatPr defaultRowHeight="14.4" x14ac:dyDescent="0.55000000000000004"/>
  <cols>
    <col min="2" max="2" width="155.83984375" customWidth="1"/>
  </cols>
  <sheetData>
    <row r="4" spans="2:2" x14ac:dyDescent="0.55000000000000004">
      <c r="B4" s="32" t="s">
        <v>37</v>
      </c>
    </row>
    <row r="5" spans="2:2" x14ac:dyDescent="0.55000000000000004">
      <c r="B5" s="33" t="s">
        <v>38</v>
      </c>
    </row>
    <row r="6" spans="2:2" x14ac:dyDescent="0.55000000000000004">
      <c r="B6" s="32" t="s">
        <v>39</v>
      </c>
    </row>
    <row r="7" spans="2:2" x14ac:dyDescent="0.55000000000000004">
      <c r="B7" s="34" t="s">
        <v>40</v>
      </c>
    </row>
    <row r="8" spans="2:2" x14ac:dyDescent="0.55000000000000004">
      <c r="B8" t="s">
        <v>41</v>
      </c>
    </row>
    <row r="9" spans="2:2" x14ac:dyDescent="0.55000000000000004">
      <c r="B9" s="35" t="s">
        <v>42</v>
      </c>
    </row>
    <row r="10" spans="2:2" x14ac:dyDescent="0.55000000000000004">
      <c r="B10" s="36" t="s">
        <v>43</v>
      </c>
    </row>
    <row r="11" spans="2:2" x14ac:dyDescent="0.55000000000000004">
      <c r="B1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Stanford</dc:creator>
  <cp:lastModifiedBy>Karen Stanford</cp:lastModifiedBy>
  <dcterms:created xsi:type="dcterms:W3CDTF">2022-08-30T11:42:34Z</dcterms:created>
  <dcterms:modified xsi:type="dcterms:W3CDTF">2024-08-01T22:53:10Z</dcterms:modified>
</cp:coreProperties>
</file>